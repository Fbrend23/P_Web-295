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inam\Downloads\"/>
    </mc:Choice>
  </mc:AlternateContent>
  <xr:revisionPtr revIDLastSave="0" documentId="13_ncr:1_{4969DC93-44A8-415D-9A53-49C2082CDD55}" xr6:coauthVersionLast="47" xr6:coauthVersionMax="47" xr10:uidLastSave="{00000000-0000-0000-0000-000000000000}"/>
  <bookViews>
    <workbookView xWindow="-110" yWindow="-110" windowWidth="21820" windowHeight="139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<sst xmlns="http://schemas.openxmlformats.org/spreadsheetml/2006/main" count="112" uniqueCount="54">
  <si>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</si>
  <si>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</si>
  <si>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</si>
  <si>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</si>
  <si>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</si>
  <si>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</si>
  <si>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</si>
  <si>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</si>
  <si>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</si>
  <si>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</si>
  <si>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</si>
  <si>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</si>
  <si>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</si>
  <si>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</si>
  <si>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</si>
  <si>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</si>
  <si>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</si>
  <si>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</si>
  <si>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</si>
  <si>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</si>
  <si>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</si>
  <si>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</si>
  <si>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</si>
  <si>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</si>
  <si>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Mina Morier</t>
  </si>
  <si>
    <t>FID2</t>
  </si>
  <si>
    <t>Avenue de Valmont 28c, Lausanne</t>
  </si>
  <si>
    <t>vendredi, 19 septembre 2025</t>
  </si>
  <si>
    <t>vendredi, 31 octobre 2025</t>
  </si>
  <si>
    <t>Lister les  routes du projet</t>
  </si>
  <si>
    <t>Max. 24</t>
  </si>
  <si>
    <t>STOP</t>
  </si>
  <si>
    <t>Maladie</t>
  </si>
  <si>
    <t>Discussion en équipe autour des routes du projet. Les routes sont listées et validées par l'enseignant.</t>
  </si>
  <si>
    <t>Création des modèles et des migrations</t>
  </si>
  <si>
    <t>Mise en place de routes dans routes.ts</t>
  </si>
  <si>
    <t>Controller et validateur de Book</t>
  </si>
  <si>
    <t>Travail en groupe afin de mettre en place les routes de l'API.</t>
  </si>
  <si>
    <t xml:space="preserve">Travail en solo: Mise en place du controller et des validateur lié à Book. Validateur de query mis en place égalament </t>
  </si>
  <si>
    <t>Travail en solo: sur le modèles et migration de la table User, Comment et Evaluations.</t>
  </si>
  <si>
    <t>Controller de user-book et category-book</t>
  </si>
  <si>
    <t>Retour sur le controller de Book, correction de userId pour la méthode POST. A faire: permission de modification</t>
  </si>
  <si>
    <t>Réalisation de la méthode index pour ces deux controller. A faire: vérifier avec l'équipe que cela est correct</t>
  </si>
  <si>
    <t>Autres activités</t>
  </si>
  <si>
    <t>Test Pratique</t>
  </si>
  <si>
    <t>Vérification et corrections des controllers</t>
  </si>
  <si>
    <t>Travail en équipe pour vérifier les controllers avec Bruno</t>
  </si>
  <si>
    <t>Controller de User</t>
  </si>
  <si>
    <t xml:space="preserve">Travail en équipe pour réaliser le controller de User </t>
  </si>
  <si>
    <t>VACANCES</t>
  </si>
  <si>
    <t>Mise en place de l'authentification</t>
  </si>
  <si>
    <t>Mise en place de la logique des permissions pour les livres</t>
  </si>
  <si>
    <t>Création du Login/logout/register, mise en place du validateur auth, mise à jour des autres validateurs afin d'y ajouter la logique de auth, implémentation de AuthController et mise à jour des routes. Cela a été testé avec Bruno mais une confimation en équipe serait préférable.</t>
  </si>
  <si>
    <t>Mise en place des permissions liées à la mise à jour et la desctuction d'un livre: on ne peut mettre un jour ou détruire un livre que si l'on en est le "créateur" ou si l'on a les doits admin. Cela a été testé avec Bruno mais, à nouveau, une confimation en équipe serait préférable.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</si>
</sst>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</xdr:row>
          <xdr:rowOff>165100</xdr:rowOff>
        </xdr:from>
        <xdr:to>
          <xdr:col>6</xdr:col>
          <xdr:colOff>76200</xdr:colOff>
          <xdr:row>3</xdr:row>
          <xdr:rowOff>203200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5</xdr:row>
          <xdr:rowOff>12700</xdr:rowOff>
        </xdr:from>
        <xdr:to>
          <xdr:col>6</xdr:col>
          <xdr:colOff>95250</xdr:colOff>
          <xdr:row>7</xdr:row>
          <xdr:rowOff>50800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184150</xdr:rowOff>
        </xdr:from>
        <xdr:to>
          <xdr:col>7</xdr:col>
          <xdr:colOff>260350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1" zoomScaleNormal="100" zoomScaleSheetLayoutView="100" workbookViewId="0">
      <selection activeCell="C30" sqref="C30"/>
    </sheetView>
  </sheetViews>
  <sheetFormatPr baseColWidth="10" defaultColWidth="11.54296875" defaultRowHeight="12.5" x14ac:dyDescent="0.25"/>
  <cols>
    <col min="1" max="1" width="16.54296875" style="57" customWidth="1"/>
    <col min="2" max="2" width="55.1796875" style="57" customWidth="1"/>
    <col min="3" max="3" width="88.54296875" style="57" customWidth="1"/>
    <col min="4" max="4" width="3.453125" style="57" customWidth="1"/>
    <col min="5" max="6" width="11.54296875" style="57"/>
    <col min="7" max="7" width="3.26953125" style="57" customWidth="1"/>
    <col min="8" max="16384" width="11.5429687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3" thickBot="1" x14ac:dyDescent="0.3">
      <c r="A2" s="58"/>
      <c r="B2" s="59"/>
      <c r="C2" s="59"/>
      <c r="D2" s="59"/>
      <c r="E2" s="59"/>
      <c r="F2" s="59"/>
      <c r="G2" s="60"/>
    </row>
    <row r="3" spans="1:7" ht="20.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3" thickBot="1" x14ac:dyDescent="0.3">
      <c r="A8" s="58"/>
      <c r="B8" s="59"/>
      <c r="C8" s="59"/>
      <c r="D8" s="59"/>
      <c r="E8" s="59"/>
      <c r="F8" s="59"/>
      <c r="G8" s="60"/>
    </row>
    <row r="9" spans="1:7" ht="20.5" x14ac:dyDescent="0.25">
      <c r="A9" s="58"/>
      <c r="B9" s="61" t="s">
        <v>9</v>
      </c>
      <c r="C9" s="67" t="s">
        <v>27</v>
      </c>
      <c r="D9" s="59"/>
      <c r="E9" s="59"/>
      <c r="F9" s="59"/>
      <c r="G9" s="60"/>
    </row>
    <row r="10" spans="1:7" ht="20.5" x14ac:dyDescent="0.25">
      <c r="A10" s="58"/>
      <c r="B10" s="68" t="s">
        <v>8</v>
      </c>
      <c r="C10" s="69" t="s">
        <v>28</v>
      </c>
      <c r="D10" s="59"/>
      <c r="E10" s="59"/>
      <c r="F10" s="59"/>
      <c r="G10" s="60"/>
    </row>
    <row r="11" spans="1:7" ht="20.5" x14ac:dyDescent="0.2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5" x14ac:dyDescent="0.2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3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3" thickBot="1" x14ac:dyDescent="0.3">
      <c r="A18" s="78"/>
      <c r="B18" s="59"/>
      <c r="C18" s="59"/>
      <c r="D18" s="59"/>
      <c r="E18" s="59"/>
      <c r="F18" s="59"/>
      <c r="G18" s="60"/>
    </row>
    <row r="19" spans="1:7" ht="20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5" x14ac:dyDescent="0.25">
      <c r="A22" s="78"/>
      <c r="B22" s="79">
        <v>2</v>
      </c>
      <c r="C22" s="70" t="s">
        <v>34</v>
      </c>
      <c r="D22" s="59"/>
      <c r="E22" s="59"/>
      <c r="F22" s="59"/>
      <c r="G22" s="60"/>
    </row>
    <row r="23" spans="1:7" ht="20.5" x14ac:dyDescent="0.25">
      <c r="A23" s="78"/>
      <c r="B23" s="81">
        <v>3</v>
      </c>
      <c r="C23" s="70" t="s">
        <v>35</v>
      </c>
      <c r="D23" s="59"/>
      <c r="E23" s="59"/>
      <c r="F23" s="59"/>
      <c r="G23" s="60"/>
    </row>
    <row r="24" spans="1:7" ht="20.5" x14ac:dyDescent="0.25">
      <c r="A24" s="78"/>
      <c r="B24" s="79">
        <v>4</v>
      </c>
      <c r="C24" s="70" t="s">
        <v>36</v>
      </c>
      <c r="D24" s="59"/>
      <c r="E24" s="59"/>
      <c r="F24" s="59"/>
      <c r="G24" s="60"/>
    </row>
    <row r="25" spans="1:7" ht="20.5" x14ac:dyDescent="0.25">
      <c r="A25" s="78"/>
      <c r="B25" s="79">
        <v>5</v>
      </c>
      <c r="C25" s="70" t="s">
        <v>40</v>
      </c>
      <c r="D25" s="59"/>
      <c r="E25" s="59"/>
      <c r="F25" s="59"/>
      <c r="G25" s="60"/>
    </row>
    <row r="26" spans="1:7" ht="20.5" x14ac:dyDescent="0.25">
      <c r="A26" s="78"/>
      <c r="B26" s="81">
        <v>6</v>
      </c>
      <c r="C26" s="70" t="s">
        <v>43</v>
      </c>
      <c r="D26" s="59"/>
      <c r="E26" s="59"/>
      <c r="F26" s="59"/>
      <c r="G26" s="60"/>
    </row>
    <row r="27" spans="1:7" ht="20.5" x14ac:dyDescent="0.25">
      <c r="A27" s="78"/>
      <c r="B27" s="79">
        <v>7</v>
      </c>
      <c r="C27" s="70" t="s">
        <v>45</v>
      </c>
      <c r="D27" s="59"/>
      <c r="E27" s="59"/>
      <c r="F27" s="59"/>
      <c r="G27" s="60"/>
    </row>
    <row r="28" spans="1:7" ht="20.5" x14ac:dyDescent="0.25">
      <c r="A28" s="78"/>
      <c r="B28" s="79">
        <v>8</v>
      </c>
      <c r="C28" s="71" t="s">
        <v>47</v>
      </c>
      <c r="D28" s="59"/>
      <c r="E28" s="59"/>
      <c r="F28" s="59"/>
      <c r="G28" s="60"/>
    </row>
    <row r="29" spans="1:7" ht="20.5" x14ac:dyDescent="0.25">
      <c r="A29" s="78"/>
      <c r="B29" s="81">
        <v>9</v>
      </c>
      <c r="C29" s="71" t="s">
        <v>50</v>
      </c>
      <c r="D29" s="59"/>
      <c r="E29" s="59"/>
      <c r="F29" s="59"/>
      <c r="G29" s="60"/>
    </row>
    <row r="30" spans="1:7" ht="20.5" x14ac:dyDescent="0.25">
      <c r="A30" s="78"/>
      <c r="B30" s="79">
        <v>10</v>
      </c>
      <c r="C30" s="70" t="s">
        <v>51</v>
      </c>
      <c r="D30" s="59"/>
      <c r="E30" s="59"/>
      <c r="F30" s="59"/>
      <c r="G30" s="60"/>
    </row>
    <row r="31" spans="1:7" ht="20.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3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12700</xdr:colOff>
                <xdr:row>5</xdr:row>
                <xdr:rowOff>12700</xdr:rowOff>
              </from>
              <to>
                <xdr:col>6</xdr:col>
                <xdr:colOff>95250</xdr:colOff>
                <xdr:row>7</xdr:row>
                <xdr:rowOff>50800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12700</xdr:colOff>
                <xdr:row>1</xdr:row>
                <xdr:rowOff>165100</xdr:rowOff>
              </from>
              <to>
                <xdr:col>6</xdr:col>
                <xdr:colOff>76200</xdr:colOff>
                <xdr:row>3</xdr:row>
                <xdr:rowOff>203200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12700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4296875" defaultRowHeight="19.5" customHeight="1" x14ac:dyDescent="0.25"/>
  <cols>
    <col min="1" max="1" width="17.81640625" style="20" customWidth="1"/>
    <col min="2" max="2" width="51.26953125" style="20" customWidth="1"/>
    <col min="3" max="3" width="19.453125" style="20" customWidth="1"/>
    <col min="4" max="16384" width="1.54296875" style="20"/>
  </cols>
  <sheetData>
    <row r="1" spans="1:4" ht="13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2.5" x14ac:dyDescent="0.25"/>
  <cols>
    <col min="2" max="2" width="51.8164062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" thickBot="1" x14ac:dyDescent="0.3">
      <c r="B4" s="26" t="s">
        <v>17</v>
      </c>
      <c r="C4" s="28">
        <v>0</v>
      </c>
    </row>
    <row r="39" spans="5:5" ht="13" x14ac:dyDescent="0.3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6" t="s">
        <v>14</v>
      </c>
      <c r="B1" s="7">
        <v>1</v>
      </c>
      <c r="C1" s="17"/>
      <c r="D1" s="85"/>
    </row>
    <row r="2" spans="1:4" ht="23.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" thickBot="1" x14ac:dyDescent="0.3">
      <c r="A12" s="3"/>
      <c r="B12" s="3"/>
      <c r="C12" s="11"/>
      <c r="D12" s="11"/>
    </row>
    <row r="13" spans="1:4" ht="13" thickBot="1" x14ac:dyDescent="0.3">
      <c r="A13" s="12" t="s">
        <v>22</v>
      </c>
      <c r="B13" s="12">
        <f>SUM(B3:B12)</f>
        <v>0</v>
      </c>
      <c r="C13" s="13"/>
      <c r="D13" s="13"/>
    </row>
    <row r="14" spans="1:4" x14ac:dyDescent="0.25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x14ac:dyDescent="0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260350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42" t="s">
        <v>14</v>
      </c>
      <c r="B1" s="43">
        <v>1</v>
      </c>
      <c r="C1" s="44" t="s">
        <v>23</v>
      </c>
      <c r="D1" s="53"/>
    </row>
    <row r="2" spans="1:4" ht="23.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" thickBot="1" x14ac:dyDescent="0.3">
      <c r="A17" s="3"/>
      <c r="B17" s="3"/>
      <c r="C17" s="11"/>
      <c r="D17" s="11"/>
    </row>
    <row r="18" spans="1:8" ht="13" thickBot="1" x14ac:dyDescent="0.3">
      <c r="A18" s="47" t="s">
        <v>22</v>
      </c>
      <c r="B18" s="47">
        <f>SUM(B3:B17)</f>
        <v>0</v>
      </c>
      <c r="C18" s="48"/>
      <c r="D18" s="48"/>
    </row>
    <row r="19" spans="1:8" x14ac:dyDescent="0.25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x14ac:dyDescent="0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260350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25134-D13E-4AEE-BFE5-CD26C986F499}">
  <sheetPr codeName="Feuil9"/>
  <dimension ref="A1:H96"/>
  <sheetViews>
    <sheetView tabSelected="1" topLeftCell="A52" workbookViewId="0">
      <selection activeCell="C62" sqref="C62"/>
    </sheetView>
  </sheetViews>
  <sheetFormatPr baseColWidth="10" defaultColWidth="11.453125" defaultRowHeight="12.5" x14ac:dyDescent="0.25"/>
  <cols>
    <col min="1" max="1" width="21.453125" style="20" customWidth="1"/>
    <col min="2" max="2" width="8.54296875" style="20" customWidth="1"/>
    <col min="3" max="3" width="87" style="20" customWidth="1"/>
    <col min="4" max="4" width="44.1796875" style="20" customWidth="1"/>
    <col min="5" max="16384" width="11.453125" style="20"/>
  </cols>
  <sheetData>
    <row r="1" spans="1:4" ht="18" thickBot="1" x14ac:dyDescent="0.3">
      <c r="A1" s="42" t="s">
        <v>14</v>
      </c>
      <c r="B1" s="43">
        <v>1</v>
      </c>
      <c r="C1" s="44" t="s">
        <v>23</v>
      </c>
      <c r="D1" s="53" t="str">
        <f>Donnees!$C$9</f>
        <v>vendredi, 19 septembre 2025</v>
      </c>
    </row>
    <row r="2" spans="1:4" ht="23.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21</v>
      </c>
      <c r="B3" s="4">
        <v>24</v>
      </c>
      <c r="C3" s="88" t="s">
        <v>32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" thickBot="1" x14ac:dyDescent="0.3">
      <c r="A17" s="3"/>
      <c r="B17" s="3"/>
      <c r="C17" s="11"/>
      <c r="D17" s="11"/>
    </row>
    <row r="18" spans="1:8" ht="13" thickBot="1" x14ac:dyDescent="0.3">
      <c r="A18" s="47" t="s">
        <v>22</v>
      </c>
      <c r="B18" s="47">
        <f>SUM(B3:B17)</f>
        <v>24</v>
      </c>
      <c r="C18" s="86" t="s">
        <v>30</v>
      </c>
      <c r="D18" s="48"/>
    </row>
    <row r="19" spans="1:8" ht="13" thickBot="1" x14ac:dyDescent="0.3">
      <c r="A19" s="49"/>
      <c r="B19" s="49"/>
      <c r="C19" s="49"/>
      <c r="D19" s="49"/>
    </row>
    <row r="20" spans="1:8" ht="18" thickBot="1" x14ac:dyDescent="0.3">
      <c r="A20" s="42" t="s">
        <v>14</v>
      </c>
      <c r="B20" s="43">
        <v>2</v>
      </c>
      <c r="C20" s="44" t="s">
        <v>23</v>
      </c>
      <c r="D20" s="53" t="e">
        <f>$D$1+7</f>
        <v>#VALUE!</v>
      </c>
    </row>
    <row r="21" spans="1:8" ht="23.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5" x14ac:dyDescent="0.25">
      <c r="A22" s="5" t="s">
        <v>29</v>
      </c>
      <c r="B22" s="4">
        <v>6</v>
      </c>
      <c r="C22" s="88" t="s">
        <v>33</v>
      </c>
      <c r="D22" s="9"/>
    </row>
    <row r="23" spans="1:8" ht="25" x14ac:dyDescent="0.25">
      <c r="A23" s="1" t="s">
        <v>34</v>
      </c>
      <c r="B23" s="2">
        <v>5</v>
      </c>
      <c r="C23" s="89" t="s">
        <v>39</v>
      </c>
      <c r="D23" s="10"/>
    </row>
    <row r="24" spans="1:8" ht="25" x14ac:dyDescent="0.25">
      <c r="A24" s="1" t="s">
        <v>35</v>
      </c>
      <c r="B24" s="2">
        <v>4</v>
      </c>
      <c r="C24" s="89" t="s">
        <v>37</v>
      </c>
      <c r="D24" s="10"/>
    </row>
    <row r="25" spans="1:8" ht="12.75" customHeight="1" x14ac:dyDescent="0.25">
      <c r="A25" s="1" t="s">
        <v>36</v>
      </c>
      <c r="B25" s="2">
        <v>9</v>
      </c>
      <c r="C25" s="89" t="s">
        <v>38</v>
      </c>
      <c r="D25" s="10"/>
      <c r="F25" s="31"/>
      <c r="G25" s="32"/>
      <c r="H25" s="33"/>
    </row>
    <row r="26" spans="1:8" ht="15" x14ac:dyDescent="0.25"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3" thickBot="1" x14ac:dyDescent="0.3">
      <c r="A36" s="3"/>
      <c r="B36" s="3"/>
      <c r="C36" s="11"/>
      <c r="D36" s="11"/>
      <c r="F36" s="40"/>
      <c r="G36" s="40"/>
      <c r="H36" s="40"/>
    </row>
    <row r="37" spans="1:8" ht="13" thickBot="1" x14ac:dyDescent="0.3">
      <c r="A37" s="47" t="s">
        <v>22</v>
      </c>
      <c r="B37" s="47">
        <f>SUM(B22:B36)</f>
        <v>24</v>
      </c>
      <c r="C37" s="86" t="s">
        <v>30</v>
      </c>
      <c r="D37" s="48"/>
    </row>
    <row r="38" spans="1:8" ht="13" thickBot="1" x14ac:dyDescent="0.3">
      <c r="A38" s="49"/>
      <c r="B38" s="49"/>
      <c r="C38" s="49"/>
      <c r="D38" s="49"/>
    </row>
    <row r="39" spans="1:8" ht="18" thickBot="1" x14ac:dyDescent="0.3">
      <c r="A39" s="42" t="s">
        <v>14</v>
      </c>
      <c r="B39" s="43">
        <v>3</v>
      </c>
      <c r="C39" s="44" t="s">
        <v>23</v>
      </c>
      <c r="D39" s="53" t="e">
        <f>$D$20+7</f>
        <v>#VALUE!</v>
      </c>
    </row>
    <row r="40" spans="1:8" ht="23.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5" x14ac:dyDescent="0.25">
      <c r="A41" s="5" t="s">
        <v>36</v>
      </c>
      <c r="B41" s="4">
        <v>2</v>
      </c>
      <c r="C41" s="88" t="s">
        <v>41</v>
      </c>
      <c r="D41" s="9"/>
    </row>
    <row r="42" spans="1:8" ht="37.5" x14ac:dyDescent="0.25">
      <c r="A42" s="1" t="s">
        <v>40</v>
      </c>
      <c r="B42" s="2">
        <v>3</v>
      </c>
      <c r="C42" s="89" t="s">
        <v>42</v>
      </c>
      <c r="D42" s="10"/>
    </row>
    <row r="43" spans="1:8" x14ac:dyDescent="0.25">
      <c r="A43" s="1" t="s">
        <v>43</v>
      </c>
      <c r="B43" s="2">
        <v>10</v>
      </c>
      <c r="C43" s="89" t="s">
        <v>44</v>
      </c>
      <c r="D43" s="10"/>
    </row>
    <row r="44" spans="1:8" ht="37.5" x14ac:dyDescent="0.25">
      <c r="A44" s="1" t="s">
        <v>45</v>
      </c>
      <c r="B44" s="2">
        <v>6</v>
      </c>
      <c r="C44" s="89" t="s">
        <v>46</v>
      </c>
      <c r="D44" s="10"/>
    </row>
    <row r="45" spans="1:8" x14ac:dyDescent="0.25">
      <c r="A45" s="1" t="s">
        <v>47</v>
      </c>
      <c r="B45" s="2">
        <v>3</v>
      </c>
      <c r="C45" s="89" t="s">
        <v>48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3" thickBot="1" x14ac:dyDescent="0.3">
      <c r="A55" s="3"/>
      <c r="B55" s="3"/>
      <c r="C55" s="11"/>
      <c r="D55" s="11"/>
    </row>
    <row r="56" spans="1:4" ht="13" thickBot="1" x14ac:dyDescent="0.3">
      <c r="A56" s="47" t="s">
        <v>22</v>
      </c>
      <c r="B56" s="47">
        <f>SUM(B41:B55)</f>
        <v>24</v>
      </c>
      <c r="C56" s="86" t="s">
        <v>30</v>
      </c>
      <c r="D56" s="48"/>
    </row>
    <row r="57" spans="1:4" ht="13" thickBot="1" x14ac:dyDescent="0.3">
      <c r="A57" s="49"/>
      <c r="B57" s="49"/>
      <c r="C57" s="49"/>
      <c r="D57" s="49"/>
    </row>
    <row r="58" spans="1:4" ht="18" thickBot="1" x14ac:dyDescent="0.3">
      <c r="A58" s="42" t="s">
        <v>14</v>
      </c>
      <c r="B58" s="43">
        <v>4</v>
      </c>
      <c r="C58" s="44" t="s">
        <v>23</v>
      </c>
      <c r="D58" s="53" t="e">
        <f>$D$39+7</f>
        <v>#VALUE!</v>
      </c>
    </row>
    <row r="59" spans="1:4" ht="23.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94" t="s">
        <v>49</v>
      </c>
      <c r="B60" s="4"/>
      <c r="C60" s="9"/>
      <c r="D60" s="9"/>
    </row>
    <row r="61" spans="1:4" ht="37.5" x14ac:dyDescent="0.25">
      <c r="A61" s="1" t="s">
        <v>50</v>
      </c>
      <c r="B61" s="2">
        <v>6</v>
      </c>
      <c r="C61" s="95" t="s">
        <v>52</v>
      </c>
      <c r="D61" s="10"/>
    </row>
    <row r="62" spans="1:4" ht="50" x14ac:dyDescent="0.25">
      <c r="A62" s="1" t="s">
        <v>51</v>
      </c>
      <c r="B62" s="2">
        <v>6</v>
      </c>
      <c r="C62" s="95" t="s">
        <v>53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3" thickBot="1" x14ac:dyDescent="0.3">
      <c r="A74" s="3"/>
      <c r="B74" s="3"/>
      <c r="C74" s="11"/>
      <c r="D74" s="11"/>
    </row>
    <row r="75" spans="1:4" ht="13" thickBot="1" x14ac:dyDescent="0.3">
      <c r="A75" s="47" t="s">
        <v>22</v>
      </c>
      <c r="B75" s="47">
        <f>SUM(B60:B74)</f>
        <v>12</v>
      </c>
      <c r="C75" s="86" t="s">
        <v>30</v>
      </c>
      <c r="D75" s="48"/>
    </row>
    <row r="76" spans="1:4" ht="13" thickBot="1" x14ac:dyDescent="0.3">
      <c r="A76" s="49"/>
      <c r="B76" s="49"/>
      <c r="C76" s="49"/>
      <c r="D76" s="49"/>
    </row>
    <row r="77" spans="1:4" ht="18" thickBot="1" x14ac:dyDescent="0.3">
      <c r="A77" s="42" t="s">
        <v>14</v>
      </c>
      <c r="B77" s="43">
        <v>5</v>
      </c>
      <c r="C77" s="44" t="s">
        <v>23</v>
      </c>
      <c r="D77" s="53" t="e">
        <f>$D$58+7</f>
        <v>#VALUE!</v>
      </c>
    </row>
    <row r="78" spans="1:4" ht="23.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3" thickBot="1" x14ac:dyDescent="0.3">
      <c r="A93" s="3"/>
      <c r="B93" s="3"/>
      <c r="C93" s="11"/>
      <c r="D93" s="11"/>
    </row>
    <row r="94" spans="1:4" ht="13" thickBot="1" x14ac:dyDescent="0.3">
      <c r="A94" s="47" t="s">
        <v>22</v>
      </c>
      <c r="B94" s="47">
        <f>SUM(B79:B93)</f>
        <v>0</v>
      </c>
      <c r="C94" s="86" t="s">
        <v>30</v>
      </c>
      <c r="D94" s="48"/>
    </row>
    <row r="95" spans="1:4" x14ac:dyDescent="0.25">
      <c r="A95" s="49"/>
      <c r="B95" s="49"/>
      <c r="C95" s="49"/>
      <c r="D95" s="49"/>
    </row>
    <row r="96" spans="1:4" x14ac:dyDescent="0.25">
      <c r="A96" s="87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F25C9-96EE-4D58-85B9-87883D7E4A6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D7784EA-CE9B-4F53-AEF0-CD1F20497E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70DEB8B1-E027-4BA8-AD4F-1F3830B388C2}">
      <formula1>0</formula1>
      <formula2>NbPerWeek * NbQuartPer</formula2>
    </dataValidation>
    <dataValidation type="list" allowBlank="1" showInputMessage="1" showErrorMessage="1" sqref="A3:A17 A41:A55 A60:A74 A79:A93 A22:A25 A27:A36" xr:uid="{14B91541-CC5C-4780-8944-20593907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184150</xdr:rowOff>
              </from>
              <to>
                <xdr:col>7</xdr:col>
                <xdr:colOff>260350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Mina Morier</cp:lastModifiedBy>
  <cp:lastPrinted>2013-08-29T11:33:15Z</cp:lastPrinted>
  <dcterms:created xsi:type="dcterms:W3CDTF">1996-10-21T11:03:58Z</dcterms:created>
  <dcterms:modified xsi:type="dcterms:W3CDTF">2025-10-25T11:06:39Z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